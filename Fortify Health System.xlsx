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Mill_Compliance_Data" sheetId="2" r:id="rId6"/>
    <sheet state="visible" name="Mill_Contacts" sheetId="3" r:id="rId7"/>
    <sheet state="visible" name="Field_Managers" sheetId="4" r:id="rId8"/>
    <sheet state="visible" name="Send_Schedule" sheetId="5" r:id="rId9"/>
    <sheet state="visible" name="Draft_Log" sheetId="6" r:id="rId10"/>
    <sheet state="visible" name="System_Settings" sheetId="7" r:id="rId11"/>
  </sheets>
  <definedNames>
    <definedName hidden="1" localSheetId="1" name="_xlnm._FilterDatabase">Mill_Compliance_Data!$A$1:$T$13</definedName>
    <definedName hidden="1" localSheetId="2" name="_xlnm._FilterDatabase">Mill_Contacts!$A$1:$F$13</definedName>
    <definedName hidden="1" localSheetId="5" name="_xlnm._FilterDatabase">Draft_Log!$A$1:$L$13</definedName>
  </definedNames>
  <calcPr/>
</workbook>
</file>

<file path=xl/sharedStrings.xml><?xml version="1.0" encoding="utf-8"?>
<sst xmlns="http://schemas.openxmlformats.org/spreadsheetml/2006/main" count="425" uniqueCount="285">
  <si>
    <t>FORTIFY HEALTH -- COMPLIANCE COMMAND CENTRE</t>
  </si>
  <si>
    <t xml:space="preserve">Wheat Flour Fortification Programme -- Automated Email &amp; Monitoring System </t>
  </si>
  <si>
    <t>Total Mills</t>
  </si>
  <si>
    <t>HIGH Tier</t>
  </si>
  <si>
    <t>MEDIUM Tier</t>
  </si>
  <si>
    <t>LOW Tier</t>
  </si>
  <si>
    <t>Below FSSAI Std</t>
  </si>
  <si>
    <t>Emails Drafted</t>
  </si>
  <si>
    <t>Emails Sent</t>
  </si>
  <si>
    <t>Data Errors</t>
  </si>
  <si>
    <t>COMPLIANCE BY STATE</t>
  </si>
  <si>
    <t>State</t>
  </si>
  <si>
    <t>Mills</t>
  </si>
  <si>
    <t>Avg M1%</t>
  </si>
  <si>
    <t>Avg Lab ppm</t>
  </si>
  <si>
    <t>HIGH Count</t>
  </si>
  <si>
    <t>Trend</t>
  </si>
  <si>
    <t>Maharashtra</t>
  </si>
  <si>
    <t>Rajasthan</t>
  </si>
  <si>
    <t>Gujarat</t>
  </si>
  <si>
    <t>Madhya Pradesh</t>
  </si>
  <si>
    <t>Karnataka</t>
  </si>
  <si>
    <t>Uttar Pradesh</t>
  </si>
  <si>
    <t>Tamil Nadu</t>
  </si>
  <si>
    <t>West Bengal</t>
  </si>
  <si>
    <t>QUICK ACTIONS -- Use the Fortify Health menu above</t>
  </si>
  <si>
    <t>Action</t>
  </si>
  <si>
    <t>How</t>
  </si>
  <si>
    <t>Description</t>
  </si>
  <si>
    <t>Draft Emails</t>
  </si>
  <si>
    <t>Menu &gt; Fortify Health &gt; Draft compliance emails</t>
  </si>
  <si>
    <t>Creates Gmail drafts for flagged mills</t>
  </si>
  <si>
    <t>Auto-Send</t>
  </si>
  <si>
    <t>Menu &gt; Fortify Health &gt; Auto-send compliance emails</t>
  </si>
  <si>
    <t>Sends immediately (no draft review)</t>
  </si>
  <si>
    <t>Send Drafts</t>
  </si>
  <si>
    <t>Menu &gt; Fortify Health &gt; Send all pending drafts</t>
  </si>
  <si>
    <t>Sends all reviewed drafts in one batch</t>
  </si>
  <si>
    <t>Set Schedule</t>
  </si>
  <si>
    <t>Menu &gt; Fortify Health &gt; Schedule Triggers &gt; ...</t>
  </si>
  <si>
    <t>Custom date/time or preset triggers</t>
  </si>
  <si>
    <t>Reset Flags</t>
  </si>
  <si>
    <t>Menu &gt; Fortify Health &gt; Data Tools &gt; Reset all flags</t>
  </si>
  <si>
    <t>Sets all flags back to REVIEW</t>
  </si>
  <si>
    <t>Reset Checkpoint</t>
  </si>
  <si>
    <t>Menu &gt; Fortify Health &gt; Reset batch checkpoint</t>
  </si>
  <si>
    <t>Clears progress; next run starts fresh</t>
  </si>
  <si>
    <t>Mill ID</t>
  </si>
  <si>
    <t>Mill Name</t>
  </si>
  <si>
    <t>Owner Name</t>
  </si>
  <si>
    <t>District</t>
  </si>
  <si>
    <t>Reporting Month</t>
  </si>
  <si>
    <t>Risk Tier</t>
  </si>
  <si>
    <t>M1 Compliance pct</t>
  </si>
  <si>
    <t>M2 Compliance pct</t>
  </si>
  <si>
    <t>M3 Compliance pct</t>
  </si>
  <si>
    <t>Lab Result ppm Iron</t>
  </si>
  <si>
    <t>Lab Variance pct</t>
  </si>
  <si>
    <t>Production Volume MT</t>
  </si>
  <si>
    <t>Email Flag</t>
  </si>
  <si>
    <t>Premix Used kg</t>
  </si>
  <si>
    <t>Expected Premix kg</t>
  </si>
  <si>
    <t>Premix Deviation pct</t>
  </si>
  <si>
    <t>Days Since Audit</t>
  </si>
  <si>
    <t>Drift Label</t>
  </si>
  <si>
    <t>Follow-up Due</t>
  </si>
  <si>
    <t>FH-MH-001</t>
  </si>
  <si>
    <t>Shree Ganesh Flour Mill</t>
  </si>
  <si>
    <t>Rajesh Patil</t>
  </si>
  <si>
    <t>Pune</t>
  </si>
  <si>
    <t>March 2026</t>
  </si>
  <si>
    <t>HIGH</t>
  </si>
  <si>
    <t>-30%</t>
  </si>
  <si>
    <t>-20%</t>
  </si>
  <si>
    <t>Declining</t>
  </si>
  <si>
    <t>FH-RJ-012</t>
  </si>
  <si>
    <t>Rajasthan Agro Industries</t>
  </si>
  <si>
    <t>Suresh Sharma</t>
  </si>
  <si>
    <t>Jaipur</t>
  </si>
  <si>
    <t>MEDIUM</t>
  </si>
  <si>
    <t>-12.5%</t>
  </si>
  <si>
    <t>-5.4%</t>
  </si>
  <si>
    <t>Inconsistent</t>
  </si>
  <si>
    <t>FH-GJ-044</t>
  </si>
  <si>
    <t>Gujarat Premium Foods</t>
  </si>
  <si>
    <t>Amit Shah</t>
  </si>
  <si>
    <t>Ahmedabad</t>
  </si>
  <si>
    <t>LOW</t>
  </si>
  <si>
    <t>+5%</t>
  </si>
  <si>
    <t>+0.6%</t>
  </si>
  <si>
    <t>Stable</t>
  </si>
  <si>
    <t>FH-MP-023</t>
  </si>
  <si>
    <t>Madhya Bharat Mills</t>
  </si>
  <si>
    <t>Vikram Singh</t>
  </si>
  <si>
    <t>Bhopal</t>
  </si>
  <si>
    <t>-40%</t>
  </si>
  <si>
    <t>-29.7%</t>
  </si>
  <si>
    <t>FH-KA-015</t>
  </si>
  <si>
    <t>Karnataka Flour Corp</t>
  </si>
  <si>
    <t>Prasad Rao</t>
  </si>
  <si>
    <t>Bengaluru</t>
  </si>
  <si>
    <t>-7.5%</t>
  </si>
  <si>
    <t>-5%</t>
  </si>
  <si>
    <t>FH-UP-033</t>
  </si>
  <si>
    <t>Uttar Pradesh Grains Ltd</t>
  </si>
  <si>
    <t>Manoj Kumar</t>
  </si>
  <si>
    <t>Lucknow</t>
  </si>
  <si>
    <t>-2.5%</t>
  </si>
  <si>
    <t>-0.3%</t>
  </si>
  <si>
    <t>FH-TN-007</t>
  </si>
  <si>
    <t>Tamil Nadu Roller Mills</t>
  </si>
  <si>
    <t>Krishnan Iyer</t>
  </si>
  <si>
    <t>Chennai</t>
  </si>
  <si>
    <t>-25%</t>
  </si>
  <si>
    <t>-20.4%</t>
  </si>
  <si>
    <t>FH-WB-019</t>
  </si>
  <si>
    <t>Bengal Flour Industries</t>
  </si>
  <si>
    <t>Debashis Roy</t>
  </si>
  <si>
    <t>Kolkata</t>
  </si>
  <si>
    <t>-17.5%</t>
  </si>
  <si>
    <t>-10%</t>
  </si>
  <si>
    <t>FH-MH-056</t>
  </si>
  <si>
    <t>Pune Agri Mills</t>
  </si>
  <si>
    <t>Sachin Joshi</t>
  </si>
  <si>
    <t>-45%</t>
  </si>
  <si>
    <t>-20.3%</t>
  </si>
  <si>
    <t>FH-RJ-029</t>
  </si>
  <si>
    <t>Jodhpur Flour Works</t>
  </si>
  <si>
    <t>Ramesh Meena</t>
  </si>
  <si>
    <t>Jodhpur</t>
  </si>
  <si>
    <t>+2.5%</t>
  </si>
  <si>
    <t>FH-GJ-018</t>
  </si>
  <si>
    <t>Surat Grain Processors</t>
  </si>
  <si>
    <t>Nilesh Patel</t>
  </si>
  <si>
    <t>Surat</t>
  </si>
  <si>
    <t>-4.8%</t>
  </si>
  <si>
    <t>FH-UP-041</t>
  </si>
  <si>
    <t>Kanpur Flour Industries</t>
  </si>
  <si>
    <t>Anil Gupta</t>
  </si>
  <si>
    <t>Kanpur</t>
  </si>
  <si>
    <t>-35%</t>
  </si>
  <si>
    <t>Contact Name</t>
  </si>
  <si>
    <t>Email</t>
  </si>
  <si>
    <t>Phone</t>
  </si>
  <si>
    <t>Role</t>
  </si>
  <si>
    <t>Preferred Language</t>
  </si>
  <si>
    <t>dkv26@tsukuyome.in</t>
  </si>
  <si>
    <t>+91-9876543210</t>
  </si>
  <si>
    <t>Owner</t>
  </si>
  <si>
    <t>Marathi</t>
  </si>
  <si>
    <t>+91-9876543211</t>
  </si>
  <si>
    <t>Quality Manager</t>
  </si>
  <si>
    <t>Hindi</t>
  </si>
  <si>
    <t>+91-9876543212</t>
  </si>
  <si>
    <t>Gujarati</t>
  </si>
  <si>
    <t>+91-9876543213</t>
  </si>
  <si>
    <t>Plant Manager</t>
  </si>
  <si>
    <t>+91-9876543214</t>
  </si>
  <si>
    <t>Kannada</t>
  </si>
  <si>
    <t>+91-9876543215</t>
  </si>
  <si>
    <t>+91-9876543216</t>
  </si>
  <si>
    <t>Tamil</t>
  </si>
  <si>
    <t>+91-9876543217</t>
  </si>
  <si>
    <t>Bengali</t>
  </si>
  <si>
    <t>+91-9876543218</t>
  </si>
  <si>
    <t>+91-9876543219</t>
  </si>
  <si>
    <t>+91-9876543220</t>
  </si>
  <si>
    <t>+91-9876543221</t>
  </si>
  <si>
    <t>Manager Name</t>
  </si>
  <si>
    <t>Region</t>
  </si>
  <si>
    <t>Priya Sharma</t>
  </si>
  <si>
    <t>+91-9800000001</t>
  </si>
  <si>
    <t>West</t>
  </si>
  <si>
    <t>Amit Patel</t>
  </si>
  <si>
    <t>+91-9800000002</t>
  </si>
  <si>
    <t>North-West</t>
  </si>
  <si>
    <t>Ravi Kumar</t>
  </si>
  <si>
    <t>+91-9800000003</t>
  </si>
  <si>
    <t>Sunita Verma</t>
  </si>
  <si>
    <t>+91-9800000004</t>
  </si>
  <si>
    <t>Central</t>
  </si>
  <si>
    <t>Deepak Nair</t>
  </si>
  <si>
    <t>+91-9800000005</t>
  </si>
  <si>
    <t>South</t>
  </si>
  <si>
    <t>Kavita Mishra</t>
  </si>
  <si>
    <t>+91-9800000006</t>
  </si>
  <si>
    <t>North</t>
  </si>
  <si>
    <t>Arun Subramanian</t>
  </si>
  <si>
    <t>+91-9800000007</t>
  </si>
  <si>
    <t>Ananya Das</t>
  </si>
  <si>
    <t>+91-9800000008</t>
  </si>
  <si>
    <t>East</t>
  </si>
  <si>
    <t>Schedule Name</t>
  </si>
  <si>
    <t>Target Tier</t>
  </si>
  <si>
    <t>Frequency</t>
  </si>
  <si>
    <t>Day/Date</t>
  </si>
  <si>
    <t>Time (IST)</t>
  </si>
  <si>
    <t>Next Run</t>
  </si>
  <si>
    <t>Mode</t>
  </si>
  <si>
    <t>Active</t>
  </si>
  <si>
    <t>Function Name</t>
  </si>
  <si>
    <t>Weekly HIGH Review</t>
  </si>
  <si>
    <t>Weekly</t>
  </si>
  <si>
    <t>Monday</t>
  </si>
  <si>
    <t>09:00</t>
  </si>
  <si>
    <t>Next Monday 09:00</t>
  </si>
  <si>
    <t>Draft</t>
  </si>
  <si>
    <t>YES</t>
  </si>
  <si>
    <t>triggerHighTier</t>
  </si>
  <si>
    <t>Bi-weekly MEDIUM</t>
  </si>
  <si>
    <t>Wednesday</t>
  </si>
  <si>
    <t>14:00</t>
  </si>
  <si>
    <t>Next Wednesday 14:00</t>
  </si>
  <si>
    <t>triggerMediumTier</t>
  </si>
  <si>
    <t>Monthly LOW Auto-Send</t>
  </si>
  <si>
    <t>Monthly</t>
  </si>
  <si>
    <t>1st</t>
  </si>
  <si>
    <t>10:00</t>
  </si>
  <si>
    <t>01/05/2026 10:00</t>
  </si>
  <si>
    <t>triggerAutoSendLowTier</t>
  </si>
  <si>
    <t>Escalation Alerts</t>
  </si>
  <si>
    <t>ALL</t>
  </si>
  <si>
    <t>Friday</t>
  </si>
  <si>
    <t>17:00</t>
  </si>
  <si>
    <t>Next Friday 17:00</t>
  </si>
  <si>
    <t>Alert Only</t>
  </si>
  <si>
    <t>checkEscalations</t>
  </si>
  <si>
    <t>Weekly Digest</t>
  </si>
  <si>
    <t>18:00</t>
  </si>
  <si>
    <t>Next Friday 18:00</t>
  </si>
  <si>
    <t>Digest</t>
  </si>
  <si>
    <t>sendWeeklyDigest</t>
  </si>
  <si>
    <t>Timestamp</t>
  </si>
  <si>
    <t>Email Type</t>
  </si>
  <si>
    <t>Subject (preview)</t>
  </si>
  <si>
    <t>Field Manager</t>
  </si>
  <si>
    <t>Contact Email</t>
  </si>
  <si>
    <t>Drift Trend</t>
  </si>
  <si>
    <t>Status</t>
  </si>
  <si>
    <t>Notes</t>
  </si>
  <si>
    <t>SYSTEM SETTINGS</t>
  </si>
  <si>
    <t>Edit values in column B. The Apps Script reads these at runtime.</t>
  </si>
  <si>
    <t>Setting</t>
  </si>
  <si>
    <t>Value</t>
  </si>
  <si>
    <t>Valid Range</t>
  </si>
  <si>
    <t>GMAIL_DAILY_LIMIT</t>
  </si>
  <si>
    <t>Conservative daily email limit</t>
  </si>
  <si>
    <t>100-1500</t>
  </si>
  <si>
    <t>BATCH_SIZE</t>
  </si>
  <si>
    <t>Mills processed per batch run</t>
  </si>
  <si>
    <t>5-100</t>
  </si>
  <si>
    <t>FSSAI_PPM_STD</t>
  </si>
  <si>
    <t>FSSAI iron standard (ppm)</t>
  </si>
  <si>
    <t>20-60</t>
  </si>
  <si>
    <t>AUTO_SEND</t>
  </si>
  <si>
    <t>FALSE</t>
  </si>
  <si>
    <t>TRUE = send immediately, FALSE = create drafts</t>
  </si>
  <si>
    <t>TRUE / FALSE</t>
  </si>
  <si>
    <t>CC_MANAGER</t>
  </si>
  <si>
    <t>TRUE</t>
  </si>
  <si>
    <t>CC field manager on emails</t>
  </si>
  <si>
    <t>ADMIN_BCC</t>
  </si>
  <si>
    <t>BCC programme admin on all emails</t>
  </si>
  <si>
    <t>PREMIX_RATIO</t>
  </si>
  <si>
    <t>Expected premix-to-production ratio</t>
  </si>
  <si>
    <t>0.05-0.30</t>
  </si>
  <si>
    <t>MAX_RETRIES</t>
  </si>
  <si>
    <t>Retry count for transient Gmail errors</t>
  </si>
  <si>
    <t>1-5</t>
  </si>
  <si>
    <t>SEND_JITTER_MS</t>
  </si>
  <si>
    <t>Random delay between sends (ms)</t>
  </si>
  <si>
    <t>0-5000</t>
  </si>
  <si>
    <t>ADMIN_EMAIL</t>
  </si>
  <si>
    <t>admin@fortifyhealth.in</t>
  </si>
  <si>
    <t>Programme admin email</t>
  </si>
  <si>
    <t>Valid email</t>
  </si>
  <si>
    <t>HIGH_FOLLOWUP_DAYS</t>
  </si>
  <si>
    <t>Follow-up deadline for HIGH tier</t>
  </si>
  <si>
    <t>1-14</t>
  </si>
  <si>
    <t>MEDIUM_FOLLOWUP_DAYS</t>
  </si>
  <si>
    <t>Follow-up deadline for MEDIUM tier</t>
  </si>
  <si>
    <t>3-30</t>
  </si>
  <si>
    <t>LOW_FOLLOWUP_DAYS</t>
  </si>
  <si>
    <t>Follow-up deadline for LOW tier</t>
  </si>
  <si>
    <t>14-90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</si>
</sst>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"/>
    <numFmt numFmtId="165" formatCode="dd/mm/yyyy"/>
  </numFmts>
  <fonts count="24">
    <font>
      <sz val="11.0"/>
      <color theme="1"/>
      <name val="Calibri"/>
      <scheme val="minor"/>
    </font>
    <font>
      <b/>
      <sz val="18.0"/>
      <color rgb="FFFFFFFF"/>
      <name val="Arial"/>
    </font>
    <font/>
    <font>
      <sz val="10.0"/>
      <color rgb="FF94A3B8"/>
      <name val="Arial"/>
    </font>
    <font>
      <b/>
      <sz val="24.0"/>
      <color rgb="FF1F4E79"/>
      <name val="Arial"/>
    </font>
    <font>
      <b/>
      <sz val="24.0"/>
      <color rgb="FFDC2626"/>
      <name val="Arial"/>
    </font>
    <font>
      <b/>
      <sz val="24.0"/>
      <color rgb="FFD97706"/>
      <name val="Arial"/>
    </font>
    <font>
      <b/>
      <sz val="24.0"/>
      <color rgb="FF059669"/>
      <name val="Arial"/>
    </font>
    <font>
      <sz val="9.0"/>
      <color rgb="FF6B7280"/>
      <name val="Arial"/>
    </font>
    <font>
      <b/>
      <sz val="24.0"/>
      <color rgb="FF2563EB"/>
      <name val="Arial"/>
    </font>
    <font>
      <b/>
      <sz val="10.0"/>
      <color rgb="FF1F4E79"/>
      <name val="Arial"/>
    </font>
    <font>
      <b/>
      <sz val="10.0"/>
      <color rgb="FFFFFFFF"/>
      <name val="Arial"/>
    </font>
    <font>
      <sz val="10.0"/>
      <color rgb="FF374151"/>
      <name val="Arial"/>
    </font>
    <font>
      <sz val="11.0"/>
      <color theme="1"/>
      <name val="Calibri"/>
    </font>
    <font>
      <b/>
      <sz val="10.0"/>
      <color rgb="FF374151"/>
      <name val="Arial"/>
    </font>
    <font>
      <sz val="9.0"/>
      <color rgb="FF374151"/>
      <name val="Consolas"/>
    </font>
    <font>
      <b/>
      <sz val="10.0"/>
      <color rgb="FFDC2626"/>
      <name val="Arial"/>
    </font>
    <font>
      <b/>
      <sz val="10.0"/>
      <color rgb="FF7C3AED"/>
      <name val="Arial"/>
    </font>
    <font>
      <b/>
      <sz val="10.0"/>
      <color rgb="FFD97706"/>
      <name val="Arial"/>
    </font>
    <font>
      <b/>
      <sz val="10.0"/>
      <color rgb="FF059669"/>
      <name val="Arial"/>
    </font>
    <font>
      <color theme="1"/>
      <name val="Calibri"/>
      <scheme val="minor"/>
    </font>
    <font>
      <b/>
      <sz val="16.0"/>
      <color rgb="FFFFFFFF"/>
      <name val="Arial"/>
    </font>
    <font>
      <i/>
      <sz val="9.0"/>
      <color rgb="FF6B7280"/>
      <name val="Arial"/>
    </font>
    <font>
      <b/>
      <sz val="10.0"/>
      <color rgb="FF0000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111827"/>
        <bgColor rgb="FF111827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F3F4F6"/>
        <bgColor rgb="FFF3F4F6"/>
      </patternFill>
    </fill>
    <fill>
      <patternFill patternType="solid">
        <fgColor rgb="FFFEE2E2"/>
        <bgColor rgb="FFFEE2E2"/>
      </patternFill>
    </fill>
    <fill>
      <patternFill patternType="solid">
        <fgColor rgb="FFE2EFDA"/>
        <bgColor rgb="FFE2EFDA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FFF9C4"/>
        <bgColor rgb="FFFFF9C4"/>
      </patternFill>
    </fill>
  </fills>
  <borders count="15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medium">
        <color rgb="FF2563EB"/>
      </left>
      <right style="medium">
        <color rgb="FF2563EB"/>
      </right>
      <top style="medium">
        <color rgb="FF2563EB"/>
      </top>
      <bottom style="medium">
        <color rgb="FF2563EB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readingOrder="0" shrinkToFit="0" vertical="center" wrapText="0"/>
    </xf>
    <xf borderId="8" fillId="0" fontId="2" numFmtId="0" xfId="0" applyBorder="1" applyFont="1"/>
    <xf borderId="9" fillId="0" fontId="2" numFmtId="0" xfId="0" applyBorder="1" applyFont="1"/>
    <xf borderId="10" fillId="4" fontId="4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10" fillId="4" fontId="5" numFmtId="0" xfId="0" applyAlignment="1" applyBorder="1" applyFont="1">
      <alignment horizontal="center" shrinkToFit="0" vertical="center" wrapText="1"/>
    </xf>
    <xf borderId="10" fillId="4" fontId="6" numFmtId="0" xfId="0" applyAlignment="1" applyBorder="1" applyFont="1">
      <alignment horizontal="center" shrinkToFit="0" vertical="center" wrapText="1"/>
    </xf>
    <xf borderId="10" fillId="4" fontId="7" numFmtId="0" xfId="0" applyAlignment="1" applyBorder="1" applyFont="1">
      <alignment horizontal="center" shrinkToFit="0" vertical="center" wrapText="1"/>
    </xf>
    <xf borderId="10" fillId="4" fontId="8" numFmtId="0" xfId="0" applyAlignment="1" applyBorder="1" applyFont="1">
      <alignment horizontal="center" shrinkToFit="0" vertical="center" wrapText="1"/>
    </xf>
    <xf borderId="10" fillId="4" fontId="9" numFmtId="0" xfId="0" applyAlignment="1" applyBorder="1" applyFont="1">
      <alignment horizontal="center" shrinkToFit="0" vertical="center" wrapText="1"/>
    </xf>
    <xf borderId="10" fillId="5" fontId="10" numFmtId="0" xfId="0" applyAlignment="1" applyBorder="1" applyFill="1" applyFont="1">
      <alignment shrinkToFit="0" vertical="bottom" wrapText="0"/>
    </xf>
    <xf borderId="12" fillId="0" fontId="2" numFmtId="0" xfId="0" applyBorder="1" applyFont="1"/>
    <xf borderId="13" fillId="4" fontId="11" numFmtId="0" xfId="0" applyAlignment="1" applyBorder="1" applyFont="1">
      <alignment horizontal="center" shrinkToFit="0" vertical="center" wrapText="1"/>
    </xf>
    <xf borderId="13" fillId="6" fontId="11" numFmtId="0" xfId="0" applyAlignment="1" applyBorder="1" applyFill="1" applyFont="1">
      <alignment horizontal="center" shrinkToFit="0" vertical="center" wrapText="1"/>
    </xf>
    <xf borderId="13" fillId="4" fontId="12" numFmtId="0" xfId="0" applyAlignment="1" applyBorder="1" applyFont="1">
      <alignment horizontal="left" shrinkToFit="0" vertical="center" wrapText="1"/>
    </xf>
    <xf borderId="13" fillId="4" fontId="12" numFmtId="0" xfId="0" applyAlignment="1" applyBorder="1" applyFont="1">
      <alignment horizontal="center" shrinkToFit="0" vertical="center" wrapText="1"/>
    </xf>
    <xf borderId="13" fillId="7" fontId="12" numFmtId="0" xfId="0" applyAlignment="1" applyBorder="1" applyFill="1" applyFont="1">
      <alignment horizontal="left" shrinkToFit="0" vertical="center" wrapText="1"/>
    </xf>
    <xf borderId="13" fillId="7" fontId="12" numFmtId="0" xfId="0" applyAlignment="1" applyBorder="1" applyFont="1">
      <alignment horizontal="center" shrinkToFit="0" vertical="center" wrapText="1"/>
    </xf>
    <xf borderId="13" fillId="6" fontId="13" numFmtId="0" xfId="0" applyAlignment="1" applyBorder="1" applyFont="1">
      <alignment shrinkToFit="0" vertical="bottom" wrapText="0"/>
    </xf>
    <xf borderId="13" fillId="4" fontId="14" numFmtId="0" xfId="0" applyAlignment="1" applyBorder="1" applyFont="1">
      <alignment shrinkToFit="0" vertical="bottom" wrapText="0"/>
    </xf>
    <xf borderId="10" fillId="4" fontId="15" numFmtId="0" xfId="0" applyAlignment="1" applyBorder="1" applyFont="1">
      <alignment shrinkToFit="0" vertical="bottom" wrapText="0"/>
    </xf>
    <xf borderId="10" fillId="4" fontId="8" numFmtId="0" xfId="0" applyAlignment="1" applyBorder="1" applyFont="1">
      <alignment shrinkToFit="0" vertical="bottom" wrapText="0"/>
    </xf>
    <xf borderId="13" fillId="7" fontId="14" numFmtId="0" xfId="0" applyAlignment="1" applyBorder="1" applyFont="1">
      <alignment shrinkToFit="0" vertical="bottom" wrapText="0"/>
    </xf>
    <xf borderId="10" fillId="7" fontId="15" numFmtId="0" xfId="0" applyAlignment="1" applyBorder="1" applyFont="1">
      <alignment shrinkToFit="0" vertical="bottom" wrapText="0"/>
    </xf>
    <xf borderId="10" fillId="7" fontId="8" numFmtId="0" xfId="0" applyAlignment="1" applyBorder="1" applyFont="1">
      <alignment shrinkToFit="0" vertical="bottom" wrapText="0"/>
    </xf>
    <xf borderId="13" fillId="8" fontId="16" numFmtId="0" xfId="0" applyAlignment="1" applyBorder="1" applyFill="1" applyFont="1">
      <alignment horizontal="left" shrinkToFit="0" vertical="center" wrapText="1"/>
    </xf>
    <xf borderId="13" fillId="4" fontId="16" numFmtId="0" xfId="0" applyAlignment="1" applyBorder="1" applyFont="1">
      <alignment horizontal="left" shrinkToFit="0" vertical="center" wrapText="1"/>
    </xf>
    <xf borderId="13" fillId="9" fontId="17" numFmtId="0" xfId="0" applyAlignment="1" applyBorder="1" applyFill="1" applyFont="1">
      <alignment horizontal="left" readingOrder="0" shrinkToFit="0" vertical="center" wrapText="1"/>
    </xf>
    <xf borderId="13" fillId="10" fontId="18" numFmtId="0" xfId="0" applyAlignment="1" applyBorder="1" applyFill="1" applyFont="1">
      <alignment horizontal="left" shrinkToFit="0" vertical="center" wrapText="1"/>
    </xf>
    <xf borderId="13" fillId="7" fontId="16" numFmtId="0" xfId="0" applyAlignment="1" applyBorder="1" applyFont="1">
      <alignment horizontal="left" shrinkToFit="0" vertical="center" wrapText="1"/>
    </xf>
    <xf borderId="13" fillId="11" fontId="19" numFmtId="0" xfId="0" applyAlignment="1" applyBorder="1" applyFill="1" applyFont="1">
      <alignment horizontal="left" shrinkToFit="0" vertical="center" wrapText="1"/>
    </xf>
    <xf borderId="13" fillId="4" fontId="19" numFmtId="0" xfId="0" applyAlignment="1" applyBorder="1" applyFont="1">
      <alignment horizontal="left" shrinkToFit="0" vertical="center" wrapText="1"/>
    </xf>
    <xf borderId="13" fillId="7" fontId="19" numFmtId="0" xfId="0" applyAlignment="1" applyBorder="1" applyFont="1">
      <alignment horizontal="left" shrinkToFit="0" vertical="center" wrapText="1"/>
    </xf>
    <xf borderId="13" fillId="4" fontId="12" numFmtId="0" xfId="0" applyAlignment="1" applyBorder="1" applyFont="1">
      <alignment horizontal="left" readingOrder="0" shrinkToFit="0" vertical="center" wrapText="1"/>
    </xf>
    <xf borderId="13" fillId="7" fontId="12" numFmtId="0" xfId="0" applyAlignment="1" applyBorder="1" applyFont="1">
      <alignment horizontal="left" readingOrder="0" shrinkToFit="0" vertical="center" wrapText="1"/>
    </xf>
    <xf borderId="0" fillId="0" fontId="20" numFmtId="164" xfId="0" applyAlignment="1" applyFont="1" applyNumberFormat="1">
      <alignment readingOrder="0"/>
    </xf>
    <xf borderId="0" fillId="0" fontId="20" numFmtId="165" xfId="0" applyAlignment="1" applyFont="1" applyNumberFormat="1">
      <alignment readingOrder="0"/>
    </xf>
    <xf borderId="10" fillId="2" fontId="21" numFmtId="0" xfId="0" applyAlignment="1" applyBorder="1" applyFont="1">
      <alignment horizontal="center" shrinkToFit="0" vertical="center" wrapText="0"/>
    </xf>
    <xf borderId="10" fillId="7" fontId="22" numFmtId="0" xfId="0" applyAlignment="1" applyBorder="1" applyFont="1">
      <alignment shrinkToFit="0" vertical="bottom" wrapText="0"/>
    </xf>
    <xf borderId="13" fillId="4" fontId="15" numFmtId="0" xfId="0" applyAlignment="1" applyBorder="1" applyFont="1">
      <alignment horizontal="left" shrinkToFit="0" vertical="center" wrapText="1"/>
    </xf>
    <xf borderId="14" fillId="12" fontId="23" numFmtId="0" xfId="0" applyAlignment="1" applyBorder="1" applyFill="1" applyFont="1">
      <alignment horizontal="left" shrinkToFit="0" vertical="center" wrapText="1"/>
    </xf>
    <xf borderId="13" fillId="7" fontId="1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Average M1 Compliance % by State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M1%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Dashboard!$B$13:$B$20</c:f>
            </c:strRef>
          </c:cat>
          <c:val>
            <c:numRef>
              <c:f>Dashboard!$D$13:$D$20</c:f>
              <c:numCache/>
            </c:numRef>
          </c:val>
        </c:ser>
        <c:axId val="942024798"/>
        <c:axId val="2100690658"/>
      </c:barChart>
      <c:catAx>
        <c:axId val="9420247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00690658"/>
      </c:catAx>
      <c:valAx>
        <c:axId val="21006906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Compliance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4202479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152400</xdr:colOff>
      <xdr:row>9</xdr:row>
      <xdr:rowOff>180975</xdr:rowOff>
    </xdr:from>
    <xdr:ext cx="5657850" cy="3800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A4A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8.0"/>
    <col customWidth="1" min="3" max="3" width="20.0"/>
    <col customWidth="1" min="4" max="4" width="30.0"/>
    <col customWidth="1" min="5" max="7" width="16.0"/>
    <col customWidth="1" min="8" max="8" width="3.0"/>
    <col customWidth="1" min="9" max="9" width="20.0"/>
    <col customWidth="1" min="10" max="10" width="22.0"/>
    <col customWidth="1" min="11" max="12" width="12.0"/>
    <col customWidth="1" min="13" max="14" width="14.0"/>
    <col customWidth="1" min="15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</row>
    <row r="5">
      <c r="B5" s="10">
        <f>COUNTA(Mill_Compliance_Data!A:A)-1</f>
        <v>12</v>
      </c>
      <c r="C5" s="11"/>
      <c r="E5" s="12">
        <f>COUNTIF(Mill_Compliance_Data!G:G,"HIGH")</f>
        <v>5</v>
      </c>
      <c r="F5" s="11"/>
      <c r="H5" s="13">
        <f>COUNTIF(Mill_Compliance_Data!G:G,"MEDIUM")</f>
        <v>4</v>
      </c>
      <c r="I5" s="11"/>
      <c r="K5" s="14">
        <f>COUNTIF(Mill_Compliance_Data!G:G,"LOW")</f>
        <v>3</v>
      </c>
      <c r="L5" s="11"/>
    </row>
    <row r="6" ht="15.0" customHeight="1">
      <c r="B6" s="15" t="s">
        <v>2</v>
      </c>
      <c r="C6" s="11"/>
      <c r="E6" s="15" t="s">
        <v>3</v>
      </c>
      <c r="F6" s="11"/>
      <c r="H6" s="15" t="s">
        <v>4</v>
      </c>
      <c r="I6" s="11"/>
      <c r="K6" s="15" t="s">
        <v>5</v>
      </c>
      <c r="L6" s="11"/>
    </row>
    <row r="8">
      <c r="B8" s="12">
        <f>COUNTIF(Mill_Compliance_Data!K:K,"&lt;40")</f>
        <v>10</v>
      </c>
      <c r="C8" s="11"/>
      <c r="E8" s="16">
        <f>COUNTIF(Mill_Compliance_Data!N:N,"DRAFTED*")</f>
        <v>0</v>
      </c>
      <c r="F8" s="11"/>
      <c r="H8" s="14">
        <f>COUNTIF(Mill_Compliance_Data!N:N,"SENT*")</f>
        <v>0</v>
      </c>
      <c r="I8" s="11"/>
      <c r="K8" s="12">
        <f>COUNTIF(Mill_Compliance_Data!N:N,"DATA ERROR*")</f>
        <v>0</v>
      </c>
      <c r="L8" s="11"/>
    </row>
    <row r="9" ht="15.0" customHeight="1">
      <c r="B9" s="15" t="s">
        <v>6</v>
      </c>
      <c r="C9" s="11"/>
      <c r="E9" s="15" t="s">
        <v>7</v>
      </c>
      <c r="F9" s="11"/>
      <c r="H9" s="15" t="s">
        <v>8</v>
      </c>
      <c r="I9" s="11"/>
      <c r="K9" s="15" t="s">
        <v>9</v>
      </c>
      <c r="L9" s="11"/>
    </row>
    <row r="11">
      <c r="B11" s="17" t="s">
        <v>10</v>
      </c>
      <c r="C11" s="18"/>
      <c r="D11" s="18"/>
      <c r="E11" s="18"/>
      <c r="F11" s="18"/>
      <c r="G11" s="11"/>
    </row>
    <row r="12">
      <c r="A12" s="19"/>
      <c r="B12" s="20" t="s">
        <v>11</v>
      </c>
      <c r="C12" s="20" t="s">
        <v>12</v>
      </c>
      <c r="D12" s="20" t="s">
        <v>13</v>
      </c>
      <c r="E12" s="20" t="s">
        <v>14</v>
      </c>
      <c r="F12" s="20" t="s">
        <v>15</v>
      </c>
      <c r="G12" s="20" t="s">
        <v>16</v>
      </c>
    </row>
    <row r="13">
      <c r="B13" s="21" t="s">
        <v>17</v>
      </c>
      <c r="C13" s="22">
        <f>COUNTIF(Mill_Compliance_Data!D:D,B13)</f>
        <v>2</v>
      </c>
      <c r="D13" s="22">
        <f>IFERROR(AVERAGEIF(Mill_Compliance_Data!D:D,B13,Mill_Compliance_Data!H:H),"-")</f>
        <v>38.5</v>
      </c>
      <c r="E13" s="22">
        <f>IFERROR(AVERAGEIF(Mill_Compliance_Data!D:D,B13,Mill_Compliance_Data!K:K),"-")</f>
        <v>25</v>
      </c>
      <c r="F13" s="22">
        <f>COUNTIFS(Mill_Compliance_Data!D:D,B13,Mill_Compliance_Data!G:G,"HIGH")</f>
        <v>2</v>
      </c>
      <c r="G13" s="22" t="str">
        <f>IFERROR(IF(AVERAGEIF(Mill_Compliance_Data!D:D,B13,Mill_Compliance_Data!H:H)&gt;AVERAGEIF(Mill_Compliance_Data!D:D,B13,Mill_Compliance_Data!I:I),"Improving","Declining"),"-")</f>
        <v>Declining</v>
      </c>
    </row>
    <row r="14">
      <c r="B14" s="23" t="s">
        <v>18</v>
      </c>
      <c r="C14" s="24">
        <f>COUNTIF(Mill_Compliance_Data!D:D,B14)</f>
        <v>2</v>
      </c>
      <c r="D14" s="24">
        <f>IFERROR(AVERAGEIF(Mill_Compliance_Data!D:D,B14,Mill_Compliance_Data!H:H),"-")</f>
        <v>79.5</v>
      </c>
      <c r="E14" s="24">
        <f>IFERROR(AVERAGEIF(Mill_Compliance_Data!D:D,B14,Mill_Compliance_Data!K:K),"-")</f>
        <v>38</v>
      </c>
      <c r="F14" s="24">
        <f>COUNTIFS(Mill_Compliance_Data!D:D,B14,Mill_Compliance_Data!G:G,"HIGH")</f>
        <v>0</v>
      </c>
      <c r="G14" s="24" t="str">
        <f>IFERROR(IF(AVERAGEIF(Mill_Compliance_Data!D:D,B14,Mill_Compliance_Data!H:H)&gt;AVERAGEIF(Mill_Compliance_Data!D:D,B14,Mill_Compliance_Data!I:I),"Improving","Declining"),"-")</f>
        <v>Declining</v>
      </c>
    </row>
    <row r="15">
      <c r="B15" s="21" t="s">
        <v>19</v>
      </c>
      <c r="C15" s="22">
        <f>COUNTIF(Mill_Compliance_Data!D:D,B15)</f>
        <v>2</v>
      </c>
      <c r="D15" s="22">
        <f>IFERROR(AVERAGEIF(Mill_Compliance_Data!D:D,B15,Mill_Compliance_Data!H:H),"-")</f>
        <v>85</v>
      </c>
      <c r="E15" s="22">
        <f>IFERROR(AVERAGEIF(Mill_Compliance_Data!D:D,B15,Mill_Compliance_Data!K:K),"-")</f>
        <v>39</v>
      </c>
      <c r="F15" s="22">
        <f>COUNTIFS(Mill_Compliance_Data!D:D,B15,Mill_Compliance_Data!G:G,"HIGH")</f>
        <v>0</v>
      </c>
      <c r="G15" s="22" t="str">
        <f>IFERROR(IF(AVERAGEIF(Mill_Compliance_Data!D:D,B15,Mill_Compliance_Data!H:H)&gt;AVERAGEIF(Mill_Compliance_Data!D:D,B15,Mill_Compliance_Data!I:I),"Improving","Declining"),"-")</f>
        <v>Improving</v>
      </c>
    </row>
    <row r="16">
      <c r="B16" s="23" t="s">
        <v>20</v>
      </c>
      <c r="C16" s="24">
        <f>COUNTIF(Mill_Compliance_Data!D:D,B16)</f>
        <v>1</v>
      </c>
      <c r="D16" s="24">
        <f>IFERROR(AVERAGEIF(Mill_Compliance_Data!D:D,B16,Mill_Compliance_Data!H:H),"-")</f>
        <v>38</v>
      </c>
      <c r="E16" s="24">
        <f>IFERROR(AVERAGEIF(Mill_Compliance_Data!D:D,B16,Mill_Compliance_Data!K:K),"-")</f>
        <v>24</v>
      </c>
      <c r="F16" s="24">
        <f>COUNTIFS(Mill_Compliance_Data!D:D,B16,Mill_Compliance_Data!G:G,"HIGH")</f>
        <v>1</v>
      </c>
      <c r="G16" s="24" t="str">
        <f>IFERROR(IF(AVERAGEIF(Mill_Compliance_Data!D:D,B16,Mill_Compliance_Data!H:H)&gt;AVERAGEIF(Mill_Compliance_Data!D:D,B16,Mill_Compliance_Data!I:I),"Improving","Declining"),"-")</f>
        <v>Declining</v>
      </c>
    </row>
    <row r="17">
      <c r="B17" s="21" t="s">
        <v>21</v>
      </c>
      <c r="C17" s="22">
        <f>COUNTIF(Mill_Compliance_Data!D:D,B17)</f>
        <v>1</v>
      </c>
      <c r="D17" s="22">
        <f>IFERROR(AVERAGEIF(Mill_Compliance_Data!D:D,B17,Mill_Compliance_Data!H:H),"-")</f>
        <v>71</v>
      </c>
      <c r="E17" s="22">
        <f>IFERROR(AVERAGEIF(Mill_Compliance_Data!D:D,B17,Mill_Compliance_Data!K:K),"-")</f>
        <v>37</v>
      </c>
      <c r="F17" s="22">
        <f>COUNTIFS(Mill_Compliance_Data!D:D,B17,Mill_Compliance_Data!G:G,"HIGH")</f>
        <v>0</v>
      </c>
      <c r="G17" s="22" t="str">
        <f>IFERROR(IF(AVERAGEIF(Mill_Compliance_Data!D:D,B17,Mill_Compliance_Data!H:H)&gt;AVERAGEIF(Mill_Compliance_Data!D:D,B17,Mill_Compliance_Data!I:I),"Improving","Declining"),"-")</f>
        <v>Improving</v>
      </c>
    </row>
    <row r="18">
      <c r="B18" s="23" t="s">
        <v>22</v>
      </c>
      <c r="C18" s="24">
        <f>COUNTIF(Mill_Compliance_Data!D:D,B18)</f>
        <v>2</v>
      </c>
      <c r="D18" s="24">
        <f>IFERROR(AVERAGEIF(Mill_Compliance_Data!D:D,B18,Mill_Compliance_Data!H:H),"-")</f>
        <v>64</v>
      </c>
      <c r="E18" s="24">
        <f>IFERROR(AVERAGEIF(Mill_Compliance_Data!D:D,B18,Mill_Compliance_Data!K:K),"-")</f>
        <v>32.5</v>
      </c>
      <c r="F18" s="24">
        <f>COUNTIFS(Mill_Compliance_Data!D:D,B18,Mill_Compliance_Data!G:G,"HIGH")</f>
        <v>1</v>
      </c>
      <c r="G18" s="24" t="str">
        <f>IFERROR(IF(AVERAGEIF(Mill_Compliance_Data!D:D,B18,Mill_Compliance_Data!H:H)&gt;AVERAGEIF(Mill_Compliance_Data!D:D,B18,Mill_Compliance_Data!I:I),"Improving","Declining"),"-")</f>
        <v>Declining</v>
      </c>
    </row>
    <row r="19">
      <c r="B19" s="21" t="s">
        <v>23</v>
      </c>
      <c r="C19" s="22">
        <f>COUNTIF(Mill_Compliance_Data!D:D,B19)</f>
        <v>1</v>
      </c>
      <c r="D19" s="22">
        <f>IFERROR(AVERAGEIF(Mill_Compliance_Data!D:D,B19,Mill_Compliance_Data!H:H),"-")</f>
        <v>45</v>
      </c>
      <c r="E19" s="22">
        <f>IFERROR(AVERAGEIF(Mill_Compliance_Data!D:D,B19,Mill_Compliance_Data!K:K),"-")</f>
        <v>30</v>
      </c>
      <c r="F19" s="22">
        <f>COUNTIFS(Mill_Compliance_Data!D:D,B19,Mill_Compliance_Data!G:G,"HIGH")</f>
        <v>1</v>
      </c>
      <c r="G19" s="22" t="str">
        <f>IFERROR(IF(AVERAGEIF(Mill_Compliance_Data!D:D,B19,Mill_Compliance_Data!H:H)&gt;AVERAGEIF(Mill_Compliance_Data!D:D,B19,Mill_Compliance_Data!I:I),"Improving","Declining"),"-")</f>
        <v>Declining</v>
      </c>
    </row>
    <row r="20">
      <c r="B20" s="23" t="s">
        <v>24</v>
      </c>
      <c r="C20" s="24">
        <f>COUNTIF(Mill_Compliance_Data!D:D,B20)</f>
        <v>1</v>
      </c>
      <c r="D20" s="24">
        <f>IFERROR(AVERAGEIF(Mill_Compliance_Data!D:D,B20,Mill_Compliance_Data!H:H),"-")</f>
        <v>63</v>
      </c>
      <c r="E20" s="24">
        <f>IFERROR(AVERAGEIF(Mill_Compliance_Data!D:D,B20,Mill_Compliance_Data!K:K),"-")</f>
        <v>33</v>
      </c>
      <c r="F20" s="24">
        <f>COUNTIFS(Mill_Compliance_Data!D:D,B20,Mill_Compliance_Data!G:G,"HIGH")</f>
        <v>0</v>
      </c>
      <c r="G20" s="24" t="str">
        <f>IFERROR(IF(AVERAGEIF(Mill_Compliance_Data!D:D,B20,Mill_Compliance_Data!H:H)&gt;AVERAGEIF(Mill_Compliance_Data!D:D,B20,Mill_Compliance_Data!I:I),"Improving","Declining"),"-")</f>
        <v>Declining</v>
      </c>
    </row>
    <row r="21" ht="15.75" customHeight="1"/>
    <row r="22" ht="15.75" customHeight="1">
      <c r="B22" s="17" t="s">
        <v>25</v>
      </c>
      <c r="C22" s="18"/>
      <c r="D22" s="18"/>
      <c r="E22" s="18"/>
      <c r="F22" s="18"/>
      <c r="G22" s="11"/>
    </row>
    <row r="23" ht="15.75" customHeight="1">
      <c r="A23" s="19"/>
      <c r="B23" s="20" t="s">
        <v>26</v>
      </c>
      <c r="C23" s="20" t="s">
        <v>27</v>
      </c>
      <c r="D23" s="20" t="s">
        <v>28</v>
      </c>
      <c r="E23" s="25"/>
      <c r="F23" s="25"/>
      <c r="G23" s="25"/>
    </row>
    <row r="24" ht="15.75" customHeight="1">
      <c r="B24" s="26" t="s">
        <v>29</v>
      </c>
      <c r="C24" s="27" t="s">
        <v>30</v>
      </c>
      <c r="D24" s="11"/>
      <c r="E24" s="28" t="s">
        <v>31</v>
      </c>
      <c r="F24" s="18"/>
      <c r="G24" s="11"/>
    </row>
    <row r="25" ht="15.75" customHeight="1">
      <c r="B25" s="29" t="s">
        <v>32</v>
      </c>
      <c r="C25" s="30" t="s">
        <v>33</v>
      </c>
      <c r="D25" s="11"/>
      <c r="E25" s="31" t="s">
        <v>34</v>
      </c>
      <c r="F25" s="18"/>
      <c r="G25" s="11"/>
    </row>
    <row r="26" ht="15.75" customHeight="1">
      <c r="B26" s="26" t="s">
        <v>35</v>
      </c>
      <c r="C26" s="27" t="s">
        <v>36</v>
      </c>
      <c r="D26" s="11"/>
      <c r="E26" s="28" t="s">
        <v>37</v>
      </c>
      <c r="F26" s="18"/>
      <c r="G26" s="11"/>
    </row>
    <row r="27" ht="15.75" customHeight="1">
      <c r="B27" s="29" t="s">
        <v>38</v>
      </c>
      <c r="C27" s="30" t="s">
        <v>39</v>
      </c>
      <c r="D27" s="11"/>
      <c r="E27" s="31" t="s">
        <v>40</v>
      </c>
      <c r="F27" s="18"/>
      <c r="G27" s="11"/>
    </row>
    <row r="28" ht="15.75" customHeight="1">
      <c r="B28" s="26" t="s">
        <v>41</v>
      </c>
      <c r="C28" s="27" t="s">
        <v>42</v>
      </c>
      <c r="D28" s="11"/>
      <c r="E28" s="28" t="s">
        <v>43</v>
      </c>
      <c r="F28" s="18"/>
      <c r="G28" s="11"/>
    </row>
    <row r="29" ht="15.75" customHeight="1">
      <c r="B29" s="29" t="s">
        <v>44</v>
      </c>
      <c r="C29" s="30" t="s">
        <v>45</v>
      </c>
      <c r="D29" s="11"/>
      <c r="E29" s="31" t="s">
        <v>46</v>
      </c>
      <c r="F29" s="18"/>
      <c r="G29" s="1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H5:I5"/>
    <mergeCell ref="H6:I6"/>
    <mergeCell ref="H8:I8"/>
    <mergeCell ref="K8:L8"/>
    <mergeCell ref="H9:I9"/>
    <mergeCell ref="K9:L9"/>
    <mergeCell ref="A1:N2"/>
    <mergeCell ref="A3:N3"/>
    <mergeCell ref="B5:C5"/>
    <mergeCell ref="E5:F5"/>
    <mergeCell ref="K5:L5"/>
    <mergeCell ref="E6:F6"/>
    <mergeCell ref="K6:L6"/>
    <mergeCell ref="B6:C6"/>
    <mergeCell ref="B8:C8"/>
    <mergeCell ref="E8:F8"/>
    <mergeCell ref="B9:C9"/>
    <mergeCell ref="E9:F9"/>
    <mergeCell ref="B11:G11"/>
    <mergeCell ref="B22:G22"/>
    <mergeCell ref="C27:D27"/>
    <mergeCell ref="C28:D28"/>
    <mergeCell ref="C29:D29"/>
    <mergeCell ref="E28:G28"/>
    <mergeCell ref="E29:G29"/>
    <mergeCell ref="C24:D24"/>
    <mergeCell ref="E24:G24"/>
    <mergeCell ref="C25:D25"/>
    <mergeCell ref="E25:G25"/>
    <mergeCell ref="C26:D26"/>
    <mergeCell ref="E26:G26"/>
    <mergeCell ref="E27:G2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63EB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4" width="18.0"/>
    <col customWidth="1" min="5" max="6" width="16.0"/>
    <col customWidth="1" min="7" max="7" width="12.0"/>
    <col customWidth="1" min="8" max="10" width="14.0"/>
    <col customWidth="1" min="11" max="11" width="16.0"/>
    <col customWidth="1" min="12" max="12" width="14.0"/>
    <col customWidth="1" min="13" max="13" width="18.0"/>
    <col customWidth="1" min="14" max="14" width="22.0"/>
    <col customWidth="1" min="15" max="15" width="14.0"/>
    <col customWidth="1" min="16" max="18" width="16.0"/>
    <col customWidth="1" min="19" max="20" width="14.0"/>
    <col customWidth="1" min="21" max="26" width="8.71"/>
  </cols>
  <sheetData>
    <row r="1">
      <c r="A1" s="20" t="s">
        <v>47</v>
      </c>
      <c r="B1" s="20" t="s">
        <v>48</v>
      </c>
      <c r="C1" s="20" t="s">
        <v>49</v>
      </c>
      <c r="D1" s="20" t="s">
        <v>11</v>
      </c>
      <c r="E1" s="20" t="s">
        <v>50</v>
      </c>
      <c r="F1" s="20" t="s">
        <v>51</v>
      </c>
      <c r="G1" s="20" t="s">
        <v>52</v>
      </c>
      <c r="H1" s="20" t="s">
        <v>53</v>
      </c>
      <c r="I1" s="20" t="s">
        <v>54</v>
      </c>
      <c r="J1" s="20" t="s">
        <v>55</v>
      </c>
      <c r="K1" s="20" t="s">
        <v>56</v>
      </c>
      <c r="L1" s="20" t="s">
        <v>57</v>
      </c>
      <c r="M1" s="20" t="s">
        <v>58</v>
      </c>
      <c r="N1" s="20" t="s">
        <v>59</v>
      </c>
      <c r="O1" s="20" t="s">
        <v>60</v>
      </c>
      <c r="P1" s="20" t="s">
        <v>61</v>
      </c>
      <c r="Q1" s="20" t="s">
        <v>62</v>
      </c>
      <c r="R1" s="20" t="s">
        <v>63</v>
      </c>
      <c r="S1" s="20" t="s">
        <v>64</v>
      </c>
      <c r="T1" s="20" t="s">
        <v>65</v>
      </c>
    </row>
    <row r="2">
      <c r="A2" s="21" t="s">
        <v>66</v>
      </c>
      <c r="B2" s="21" t="s">
        <v>67</v>
      </c>
      <c r="C2" s="21" t="s">
        <v>68</v>
      </c>
      <c r="D2" s="21" t="s">
        <v>17</v>
      </c>
      <c r="E2" s="21" t="s">
        <v>69</v>
      </c>
      <c r="F2" s="21" t="s">
        <v>70</v>
      </c>
      <c r="G2" s="32" t="s">
        <v>71</v>
      </c>
      <c r="H2" s="21">
        <v>42.0</v>
      </c>
      <c r="I2" s="21">
        <v>55.0</v>
      </c>
      <c r="J2" s="21">
        <v>61.0</v>
      </c>
      <c r="K2" s="33">
        <v>28.0</v>
      </c>
      <c r="L2" s="21" t="s">
        <v>72</v>
      </c>
      <c r="M2" s="21">
        <v>850.0</v>
      </c>
      <c r="N2" s="34"/>
      <c r="O2" s="21">
        <v>102.0</v>
      </c>
      <c r="P2" s="21">
        <v>127.5</v>
      </c>
      <c r="Q2" s="21" t="s">
        <v>73</v>
      </c>
      <c r="R2" s="21">
        <v>145.0</v>
      </c>
      <c r="S2" s="21" t="s">
        <v>74</v>
      </c>
      <c r="T2" s="21"/>
    </row>
    <row r="3">
      <c r="A3" s="23" t="s">
        <v>75</v>
      </c>
      <c r="B3" s="23" t="s">
        <v>76</v>
      </c>
      <c r="C3" s="23" t="s">
        <v>77</v>
      </c>
      <c r="D3" s="23" t="s">
        <v>18</v>
      </c>
      <c r="E3" s="23" t="s">
        <v>78</v>
      </c>
      <c r="F3" s="23" t="s">
        <v>70</v>
      </c>
      <c r="G3" s="35" t="s">
        <v>79</v>
      </c>
      <c r="H3" s="23">
        <v>68.0</v>
      </c>
      <c r="I3" s="23">
        <v>72.0</v>
      </c>
      <c r="J3" s="23">
        <v>65.0</v>
      </c>
      <c r="K3" s="36">
        <v>35.0</v>
      </c>
      <c r="L3" s="23" t="s">
        <v>80</v>
      </c>
      <c r="M3" s="23">
        <v>620.0</v>
      </c>
      <c r="N3" s="34"/>
      <c r="O3" s="23">
        <v>88.0</v>
      </c>
      <c r="P3" s="23">
        <v>93.0</v>
      </c>
      <c r="Q3" s="23" t="s">
        <v>81</v>
      </c>
      <c r="R3" s="23">
        <v>60.0</v>
      </c>
      <c r="S3" s="23" t="s">
        <v>82</v>
      </c>
      <c r="T3" s="23"/>
    </row>
    <row r="4">
      <c r="A4" s="21" t="s">
        <v>83</v>
      </c>
      <c r="B4" s="21" t="s">
        <v>84</v>
      </c>
      <c r="C4" s="21" t="s">
        <v>85</v>
      </c>
      <c r="D4" s="21" t="s">
        <v>19</v>
      </c>
      <c r="E4" s="21" t="s">
        <v>86</v>
      </c>
      <c r="F4" s="21" t="s">
        <v>70</v>
      </c>
      <c r="G4" s="37" t="s">
        <v>87</v>
      </c>
      <c r="H4" s="21">
        <v>96.0</v>
      </c>
      <c r="I4" s="21">
        <v>94.0</v>
      </c>
      <c r="J4" s="21">
        <v>93.0</v>
      </c>
      <c r="K4" s="38">
        <v>42.0</v>
      </c>
      <c r="L4" s="21" t="s">
        <v>88</v>
      </c>
      <c r="M4" s="21">
        <v>1200.0</v>
      </c>
      <c r="N4" s="34"/>
      <c r="O4" s="21">
        <v>181.0</v>
      </c>
      <c r="P4" s="21">
        <v>180.0</v>
      </c>
      <c r="Q4" s="21" t="s">
        <v>89</v>
      </c>
      <c r="R4" s="21">
        <v>30.0</v>
      </c>
      <c r="S4" s="21" t="s">
        <v>90</v>
      </c>
      <c r="T4" s="21"/>
    </row>
    <row r="5">
      <c r="A5" s="23" t="s">
        <v>91</v>
      </c>
      <c r="B5" s="23" t="s">
        <v>92</v>
      </c>
      <c r="C5" s="23" t="s">
        <v>93</v>
      </c>
      <c r="D5" s="23" t="s">
        <v>20</v>
      </c>
      <c r="E5" s="23" t="s">
        <v>94</v>
      </c>
      <c r="F5" s="23" t="s">
        <v>70</v>
      </c>
      <c r="G5" s="32" t="s">
        <v>71</v>
      </c>
      <c r="H5" s="23">
        <v>38.0</v>
      </c>
      <c r="I5" s="23">
        <v>48.0</v>
      </c>
      <c r="J5" s="23">
        <v>52.0</v>
      </c>
      <c r="K5" s="36">
        <v>24.0</v>
      </c>
      <c r="L5" s="23" t="s">
        <v>95</v>
      </c>
      <c r="M5" s="23">
        <v>740.0</v>
      </c>
      <c r="N5" s="34"/>
      <c r="O5" s="23">
        <v>78.0</v>
      </c>
      <c r="P5" s="23">
        <v>111.0</v>
      </c>
      <c r="Q5" s="23" t="s">
        <v>96</v>
      </c>
      <c r="R5" s="23">
        <v>180.0</v>
      </c>
      <c r="S5" s="23" t="s">
        <v>74</v>
      </c>
      <c r="T5" s="23"/>
    </row>
    <row r="6">
      <c r="A6" s="21" t="s">
        <v>97</v>
      </c>
      <c r="B6" s="21" t="s">
        <v>98</v>
      </c>
      <c r="C6" s="21" t="s">
        <v>99</v>
      </c>
      <c r="D6" s="21" t="s">
        <v>21</v>
      </c>
      <c r="E6" s="21" t="s">
        <v>100</v>
      </c>
      <c r="F6" s="21" t="s">
        <v>70</v>
      </c>
      <c r="G6" s="35" t="s">
        <v>79</v>
      </c>
      <c r="H6" s="21">
        <v>71.0</v>
      </c>
      <c r="I6" s="21">
        <v>69.0</v>
      </c>
      <c r="J6" s="21">
        <v>74.0</v>
      </c>
      <c r="K6" s="33">
        <v>37.0</v>
      </c>
      <c r="L6" s="21" t="s">
        <v>101</v>
      </c>
      <c r="M6" s="21">
        <v>550.0</v>
      </c>
      <c r="N6" s="34"/>
      <c r="O6" s="21">
        <v>78.4</v>
      </c>
      <c r="P6" s="21">
        <v>82.5</v>
      </c>
      <c r="Q6" s="21" t="s">
        <v>102</v>
      </c>
      <c r="R6" s="21">
        <v>45.0</v>
      </c>
      <c r="S6" s="21" t="s">
        <v>82</v>
      </c>
      <c r="T6" s="21"/>
    </row>
    <row r="7">
      <c r="A7" s="23" t="s">
        <v>103</v>
      </c>
      <c r="B7" s="23" t="s">
        <v>104</v>
      </c>
      <c r="C7" s="23" t="s">
        <v>105</v>
      </c>
      <c r="D7" s="23" t="s">
        <v>22</v>
      </c>
      <c r="E7" s="23" t="s">
        <v>106</v>
      </c>
      <c r="F7" s="23" t="s">
        <v>70</v>
      </c>
      <c r="G7" s="37" t="s">
        <v>87</v>
      </c>
      <c r="H7" s="23">
        <v>88.0</v>
      </c>
      <c r="I7" s="23">
        <v>85.0</v>
      </c>
      <c r="J7" s="23">
        <v>87.0</v>
      </c>
      <c r="K7" s="36">
        <v>39.0</v>
      </c>
      <c r="L7" s="23" t="s">
        <v>107</v>
      </c>
      <c r="M7" s="23">
        <v>980.0</v>
      </c>
      <c r="N7" s="34"/>
      <c r="O7" s="23">
        <v>146.5</v>
      </c>
      <c r="P7" s="23">
        <v>147.0</v>
      </c>
      <c r="Q7" s="23" t="s">
        <v>108</v>
      </c>
      <c r="R7" s="23">
        <v>22.0</v>
      </c>
      <c r="S7" s="23" t="s">
        <v>90</v>
      </c>
      <c r="T7" s="23"/>
    </row>
    <row r="8">
      <c r="A8" s="21" t="s">
        <v>109</v>
      </c>
      <c r="B8" s="21" t="s">
        <v>110</v>
      </c>
      <c r="C8" s="21" t="s">
        <v>111</v>
      </c>
      <c r="D8" s="21" t="s">
        <v>23</v>
      </c>
      <c r="E8" s="21" t="s">
        <v>112</v>
      </c>
      <c r="F8" s="21" t="s">
        <v>70</v>
      </c>
      <c r="G8" s="32" t="s">
        <v>71</v>
      </c>
      <c r="H8" s="21">
        <v>45.0</v>
      </c>
      <c r="I8" s="21">
        <v>51.0</v>
      </c>
      <c r="J8" s="21">
        <v>58.0</v>
      </c>
      <c r="K8" s="33">
        <v>30.0</v>
      </c>
      <c r="L8" s="21" t="s">
        <v>113</v>
      </c>
      <c r="M8" s="21">
        <v>670.0</v>
      </c>
      <c r="N8" s="34"/>
      <c r="O8" s="21">
        <v>80.0</v>
      </c>
      <c r="P8" s="21">
        <v>100.5</v>
      </c>
      <c r="Q8" s="21" t="s">
        <v>114</v>
      </c>
      <c r="R8" s="21">
        <v>110.0</v>
      </c>
      <c r="S8" s="21" t="s">
        <v>74</v>
      </c>
      <c r="T8" s="21"/>
    </row>
    <row r="9">
      <c r="A9" s="23" t="s">
        <v>115</v>
      </c>
      <c r="B9" s="23" t="s">
        <v>116</v>
      </c>
      <c r="C9" s="23" t="s">
        <v>117</v>
      </c>
      <c r="D9" s="23" t="s">
        <v>24</v>
      </c>
      <c r="E9" s="23" t="s">
        <v>118</v>
      </c>
      <c r="F9" s="23" t="s">
        <v>70</v>
      </c>
      <c r="G9" s="35" t="s">
        <v>79</v>
      </c>
      <c r="H9" s="23">
        <v>63.0</v>
      </c>
      <c r="I9" s="23">
        <v>67.0</v>
      </c>
      <c r="J9" s="23">
        <v>60.0</v>
      </c>
      <c r="K9" s="36">
        <v>33.0</v>
      </c>
      <c r="L9" s="23" t="s">
        <v>119</v>
      </c>
      <c r="M9" s="23">
        <v>480.0</v>
      </c>
      <c r="N9" s="34"/>
      <c r="O9" s="23">
        <v>64.8</v>
      </c>
      <c r="P9" s="23">
        <v>72.0</v>
      </c>
      <c r="Q9" s="23" t="s">
        <v>120</v>
      </c>
      <c r="R9" s="23">
        <v>55.0</v>
      </c>
      <c r="S9" s="23" t="s">
        <v>82</v>
      </c>
      <c r="T9" s="23"/>
    </row>
    <row r="10">
      <c r="A10" s="21" t="s">
        <v>121</v>
      </c>
      <c r="B10" s="21" t="s">
        <v>122</v>
      </c>
      <c r="C10" s="21" t="s">
        <v>123</v>
      </c>
      <c r="D10" s="21" t="s">
        <v>17</v>
      </c>
      <c r="E10" s="21" t="s">
        <v>69</v>
      </c>
      <c r="F10" s="21" t="s">
        <v>70</v>
      </c>
      <c r="G10" s="32" t="s">
        <v>71</v>
      </c>
      <c r="H10" s="21">
        <v>35.0</v>
      </c>
      <c r="I10" s="21">
        <v>42.0</v>
      </c>
      <c r="J10" s="21">
        <v>50.0</v>
      </c>
      <c r="K10" s="33">
        <v>22.0</v>
      </c>
      <c r="L10" s="21" t="s">
        <v>124</v>
      </c>
      <c r="M10" s="21">
        <v>920.0</v>
      </c>
      <c r="N10" s="34"/>
      <c r="O10" s="21">
        <v>110.0</v>
      </c>
      <c r="P10" s="21">
        <v>138.0</v>
      </c>
      <c r="Q10" s="21" t="s">
        <v>125</v>
      </c>
      <c r="R10" s="21">
        <v>200.0</v>
      </c>
      <c r="S10" s="21" t="s">
        <v>74</v>
      </c>
      <c r="T10" s="21"/>
    </row>
    <row r="11">
      <c r="A11" s="23" t="s">
        <v>126</v>
      </c>
      <c r="B11" s="23" t="s">
        <v>127</v>
      </c>
      <c r="C11" s="23" t="s">
        <v>128</v>
      </c>
      <c r="D11" s="23" t="s">
        <v>18</v>
      </c>
      <c r="E11" s="23" t="s">
        <v>129</v>
      </c>
      <c r="F11" s="23" t="s">
        <v>70</v>
      </c>
      <c r="G11" s="37" t="s">
        <v>87</v>
      </c>
      <c r="H11" s="23">
        <v>91.0</v>
      </c>
      <c r="I11" s="23">
        <v>89.0</v>
      </c>
      <c r="J11" s="23">
        <v>90.0</v>
      </c>
      <c r="K11" s="39">
        <v>41.0</v>
      </c>
      <c r="L11" s="23" t="s">
        <v>130</v>
      </c>
      <c r="M11" s="23">
        <v>770.0</v>
      </c>
      <c r="N11" s="34"/>
      <c r="O11" s="23">
        <v>115.2</v>
      </c>
      <c r="P11" s="23">
        <v>115.5</v>
      </c>
      <c r="Q11" s="23" t="s">
        <v>108</v>
      </c>
      <c r="R11" s="23">
        <v>18.0</v>
      </c>
      <c r="S11" s="23" t="s">
        <v>90</v>
      </c>
      <c r="T11" s="23"/>
    </row>
    <row r="12">
      <c r="A12" s="21" t="s">
        <v>131</v>
      </c>
      <c r="B12" s="21" t="s">
        <v>132</v>
      </c>
      <c r="C12" s="21" t="s">
        <v>133</v>
      </c>
      <c r="D12" s="21" t="s">
        <v>19</v>
      </c>
      <c r="E12" s="21" t="s">
        <v>134</v>
      </c>
      <c r="F12" s="21" t="s">
        <v>70</v>
      </c>
      <c r="G12" s="35" t="s">
        <v>79</v>
      </c>
      <c r="H12" s="21">
        <v>74.0</v>
      </c>
      <c r="I12" s="21">
        <v>70.0</v>
      </c>
      <c r="J12" s="21">
        <v>76.0</v>
      </c>
      <c r="K12" s="33">
        <v>36.0</v>
      </c>
      <c r="L12" s="21" t="s">
        <v>120</v>
      </c>
      <c r="M12" s="21">
        <v>830.0</v>
      </c>
      <c r="N12" s="34"/>
      <c r="O12" s="21">
        <v>118.5</v>
      </c>
      <c r="P12" s="21">
        <v>124.5</v>
      </c>
      <c r="Q12" s="21" t="s">
        <v>135</v>
      </c>
      <c r="R12" s="21">
        <v>40.0</v>
      </c>
      <c r="S12" s="21" t="s">
        <v>82</v>
      </c>
      <c r="T12" s="21"/>
    </row>
    <row r="13">
      <c r="A13" s="23" t="s">
        <v>136</v>
      </c>
      <c r="B13" s="23" t="s">
        <v>137</v>
      </c>
      <c r="C13" s="23" t="s">
        <v>138</v>
      </c>
      <c r="D13" s="23" t="s">
        <v>22</v>
      </c>
      <c r="E13" s="23" t="s">
        <v>139</v>
      </c>
      <c r="F13" s="23" t="s">
        <v>70</v>
      </c>
      <c r="G13" s="32" t="s">
        <v>71</v>
      </c>
      <c r="H13" s="23">
        <v>40.0</v>
      </c>
      <c r="I13" s="23">
        <v>46.0</v>
      </c>
      <c r="J13" s="23">
        <v>55.0</v>
      </c>
      <c r="K13" s="36">
        <v>26.0</v>
      </c>
      <c r="L13" s="23" t="s">
        <v>140</v>
      </c>
      <c r="M13" s="23">
        <v>1050.0</v>
      </c>
      <c r="N13" s="34"/>
      <c r="O13" s="23">
        <v>126.0</v>
      </c>
      <c r="P13" s="23">
        <v>157.5</v>
      </c>
      <c r="Q13" s="23" t="s">
        <v>73</v>
      </c>
      <c r="R13" s="23">
        <v>165.0</v>
      </c>
      <c r="S13" s="23" t="s">
        <v>74</v>
      </c>
      <c r="T13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13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9669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30.0"/>
    <col customWidth="1" min="4" max="6" width="18.0"/>
    <col customWidth="1" min="7" max="26" width="8.71"/>
  </cols>
  <sheetData>
    <row r="1">
      <c r="A1" s="20" t="s">
        <v>47</v>
      </c>
      <c r="B1" s="20" t="s">
        <v>141</v>
      </c>
      <c r="C1" s="20" t="s">
        <v>142</v>
      </c>
      <c r="D1" s="20" t="s">
        <v>143</v>
      </c>
      <c r="E1" s="20" t="s">
        <v>144</v>
      </c>
      <c r="F1" s="20" t="s">
        <v>145</v>
      </c>
    </row>
    <row r="2">
      <c r="A2" s="21" t="s">
        <v>66</v>
      </c>
      <c r="B2" s="21" t="s">
        <v>68</v>
      </c>
      <c r="C2" s="40" t="s">
        <v>146</v>
      </c>
      <c r="D2" s="21" t="s">
        <v>147</v>
      </c>
      <c r="E2" s="21" t="s">
        <v>148</v>
      </c>
      <c r="F2" s="21" t="s">
        <v>149</v>
      </c>
    </row>
    <row r="3">
      <c r="A3" s="23" t="s">
        <v>75</v>
      </c>
      <c r="B3" s="23" t="s">
        <v>77</v>
      </c>
      <c r="C3" s="41" t="s">
        <v>146</v>
      </c>
      <c r="D3" s="23" t="s">
        <v>150</v>
      </c>
      <c r="E3" s="23" t="s">
        <v>151</v>
      </c>
      <c r="F3" s="23" t="s">
        <v>152</v>
      </c>
    </row>
    <row r="4">
      <c r="A4" s="21" t="s">
        <v>83</v>
      </c>
      <c r="B4" s="21" t="s">
        <v>85</v>
      </c>
      <c r="C4" s="40" t="s">
        <v>146</v>
      </c>
      <c r="D4" s="21" t="s">
        <v>153</v>
      </c>
      <c r="E4" s="21" t="s">
        <v>148</v>
      </c>
      <c r="F4" s="21" t="s">
        <v>154</v>
      </c>
    </row>
    <row r="5">
      <c r="A5" s="23" t="s">
        <v>91</v>
      </c>
      <c r="B5" s="23" t="s">
        <v>93</v>
      </c>
      <c r="C5" s="40" t="s">
        <v>146</v>
      </c>
      <c r="D5" s="23" t="s">
        <v>155</v>
      </c>
      <c r="E5" s="23" t="s">
        <v>156</v>
      </c>
      <c r="F5" s="23" t="s">
        <v>152</v>
      </c>
    </row>
    <row r="6">
      <c r="A6" s="21" t="s">
        <v>97</v>
      </c>
      <c r="B6" s="21" t="s">
        <v>99</v>
      </c>
      <c r="C6" s="40" t="s">
        <v>146</v>
      </c>
      <c r="D6" s="21" t="s">
        <v>157</v>
      </c>
      <c r="E6" s="21" t="s">
        <v>148</v>
      </c>
      <c r="F6" s="21" t="s">
        <v>158</v>
      </c>
    </row>
    <row r="7">
      <c r="A7" s="23" t="s">
        <v>103</v>
      </c>
      <c r="B7" s="23" t="s">
        <v>105</v>
      </c>
      <c r="C7" s="40" t="s">
        <v>146</v>
      </c>
      <c r="D7" s="23" t="s">
        <v>159</v>
      </c>
      <c r="E7" s="23" t="s">
        <v>151</v>
      </c>
      <c r="F7" s="23" t="s">
        <v>152</v>
      </c>
    </row>
    <row r="8">
      <c r="A8" s="21" t="s">
        <v>109</v>
      </c>
      <c r="B8" s="21" t="s">
        <v>111</v>
      </c>
      <c r="C8" s="40" t="s">
        <v>146</v>
      </c>
      <c r="D8" s="21" t="s">
        <v>160</v>
      </c>
      <c r="E8" s="21" t="s">
        <v>148</v>
      </c>
      <c r="F8" s="21" t="s">
        <v>161</v>
      </c>
    </row>
    <row r="9">
      <c r="A9" s="23" t="s">
        <v>115</v>
      </c>
      <c r="B9" s="23" t="s">
        <v>117</v>
      </c>
      <c r="C9" s="40" t="s">
        <v>146</v>
      </c>
      <c r="D9" s="23" t="s">
        <v>162</v>
      </c>
      <c r="E9" s="23" t="s">
        <v>156</v>
      </c>
      <c r="F9" s="23" t="s">
        <v>163</v>
      </c>
    </row>
    <row r="10">
      <c r="A10" s="21" t="s">
        <v>121</v>
      </c>
      <c r="B10" s="21" t="s">
        <v>123</v>
      </c>
      <c r="C10" s="40" t="s">
        <v>146</v>
      </c>
      <c r="D10" s="21" t="s">
        <v>164</v>
      </c>
      <c r="E10" s="21" t="s">
        <v>148</v>
      </c>
      <c r="F10" s="21" t="s">
        <v>149</v>
      </c>
    </row>
    <row r="11">
      <c r="A11" s="23" t="s">
        <v>126</v>
      </c>
      <c r="B11" s="23" t="s">
        <v>128</v>
      </c>
      <c r="C11" s="40" t="s">
        <v>146</v>
      </c>
      <c r="D11" s="23" t="s">
        <v>165</v>
      </c>
      <c r="E11" s="23" t="s">
        <v>148</v>
      </c>
      <c r="F11" s="23" t="s">
        <v>152</v>
      </c>
    </row>
    <row r="12">
      <c r="A12" s="21" t="s">
        <v>131</v>
      </c>
      <c r="B12" s="21" t="s">
        <v>133</v>
      </c>
      <c r="C12" s="40" t="s">
        <v>146</v>
      </c>
      <c r="D12" s="21" t="s">
        <v>166</v>
      </c>
      <c r="E12" s="21" t="s">
        <v>151</v>
      </c>
      <c r="F12" s="21" t="s">
        <v>154</v>
      </c>
    </row>
    <row r="13">
      <c r="A13" s="23" t="s">
        <v>136</v>
      </c>
      <c r="B13" s="23" t="s">
        <v>138</v>
      </c>
      <c r="C13" s="40" t="s">
        <v>146</v>
      </c>
      <c r="D13" s="23" t="s">
        <v>167</v>
      </c>
      <c r="E13" s="23" t="s">
        <v>156</v>
      </c>
      <c r="F13" s="23" t="s">
        <v>152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3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770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2.0"/>
    <col customWidth="1" min="3" max="3" width="32.0"/>
    <col customWidth="1" min="4" max="4" width="18.0"/>
    <col customWidth="1" min="5" max="5" width="14.0"/>
    <col customWidth="1" min="6" max="26" width="8.71"/>
  </cols>
  <sheetData>
    <row r="1">
      <c r="A1" s="20" t="s">
        <v>11</v>
      </c>
      <c r="B1" s="20" t="s">
        <v>168</v>
      </c>
      <c r="C1" s="20" t="s">
        <v>142</v>
      </c>
      <c r="D1" s="20" t="s">
        <v>143</v>
      </c>
      <c r="E1" s="20" t="s">
        <v>169</v>
      </c>
    </row>
    <row r="2">
      <c r="A2" s="21" t="s">
        <v>17</v>
      </c>
      <c r="B2" s="21" t="s">
        <v>170</v>
      </c>
      <c r="C2" s="40" t="s">
        <v>146</v>
      </c>
      <c r="D2" s="21" t="s">
        <v>171</v>
      </c>
      <c r="E2" s="21" t="s">
        <v>172</v>
      </c>
    </row>
    <row r="3">
      <c r="A3" s="23" t="s">
        <v>18</v>
      </c>
      <c r="B3" s="23" t="s">
        <v>173</v>
      </c>
      <c r="C3" s="40" t="s">
        <v>146</v>
      </c>
      <c r="D3" s="23" t="s">
        <v>174</v>
      </c>
      <c r="E3" s="23" t="s">
        <v>175</v>
      </c>
    </row>
    <row r="4">
      <c r="A4" s="21" t="s">
        <v>19</v>
      </c>
      <c r="B4" s="21" t="s">
        <v>176</v>
      </c>
      <c r="C4" s="40" t="s">
        <v>146</v>
      </c>
      <c r="D4" s="21" t="s">
        <v>177</v>
      </c>
      <c r="E4" s="21" t="s">
        <v>172</v>
      </c>
    </row>
    <row r="5">
      <c r="A5" s="23" t="s">
        <v>20</v>
      </c>
      <c r="B5" s="23" t="s">
        <v>178</v>
      </c>
      <c r="C5" s="40" t="s">
        <v>146</v>
      </c>
      <c r="D5" s="23" t="s">
        <v>179</v>
      </c>
      <c r="E5" s="23" t="s">
        <v>180</v>
      </c>
    </row>
    <row r="6">
      <c r="A6" s="21" t="s">
        <v>21</v>
      </c>
      <c r="B6" s="21" t="s">
        <v>181</v>
      </c>
      <c r="C6" s="40" t="s">
        <v>146</v>
      </c>
      <c r="D6" s="21" t="s">
        <v>182</v>
      </c>
      <c r="E6" s="21" t="s">
        <v>183</v>
      </c>
    </row>
    <row r="7">
      <c r="A7" s="23" t="s">
        <v>22</v>
      </c>
      <c r="B7" s="23" t="s">
        <v>184</v>
      </c>
      <c r="C7" s="40" t="s">
        <v>146</v>
      </c>
      <c r="D7" s="23" t="s">
        <v>185</v>
      </c>
      <c r="E7" s="23" t="s">
        <v>186</v>
      </c>
    </row>
    <row r="8">
      <c r="A8" s="21" t="s">
        <v>23</v>
      </c>
      <c r="B8" s="21" t="s">
        <v>187</v>
      </c>
      <c r="C8" s="40" t="s">
        <v>146</v>
      </c>
      <c r="D8" s="21" t="s">
        <v>188</v>
      </c>
      <c r="E8" s="21" t="s">
        <v>183</v>
      </c>
    </row>
    <row r="9">
      <c r="A9" s="23" t="s">
        <v>24</v>
      </c>
      <c r="B9" s="23" t="s">
        <v>189</v>
      </c>
      <c r="C9" s="40" t="s">
        <v>146</v>
      </c>
      <c r="D9" s="23" t="s">
        <v>190</v>
      </c>
      <c r="E9" s="23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C3AED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4" width="14.0"/>
    <col customWidth="1" min="5" max="5" width="12.0"/>
    <col customWidth="1" min="6" max="6" width="20.0"/>
    <col customWidth="1" min="7" max="7" width="14.0"/>
    <col customWidth="1" min="8" max="8" width="10.0"/>
    <col customWidth="1" min="9" max="9" width="28.0"/>
    <col customWidth="1" min="10" max="26" width="8.71"/>
  </cols>
  <sheetData>
    <row r="1">
      <c r="A1" s="20" t="s">
        <v>192</v>
      </c>
      <c r="B1" s="20" t="s">
        <v>193</v>
      </c>
      <c r="C1" s="20" t="s">
        <v>194</v>
      </c>
      <c r="D1" s="20" t="s">
        <v>195</v>
      </c>
      <c r="E1" s="20" t="s">
        <v>196</v>
      </c>
      <c r="F1" s="20" t="s">
        <v>197</v>
      </c>
      <c r="G1" s="20" t="s">
        <v>198</v>
      </c>
      <c r="H1" s="20" t="s">
        <v>199</v>
      </c>
      <c r="I1" s="20" t="s">
        <v>200</v>
      </c>
    </row>
    <row r="2">
      <c r="A2" s="21" t="s">
        <v>201</v>
      </c>
      <c r="B2" s="32" t="s">
        <v>71</v>
      </c>
      <c r="C2" s="21" t="s">
        <v>202</v>
      </c>
      <c r="D2" s="21" t="s">
        <v>203</v>
      </c>
      <c r="E2" s="21" t="s">
        <v>204</v>
      </c>
      <c r="F2" s="21" t="s">
        <v>205</v>
      </c>
      <c r="G2" s="21" t="s">
        <v>206</v>
      </c>
      <c r="H2" s="38" t="s">
        <v>207</v>
      </c>
      <c r="I2" s="21" t="s">
        <v>208</v>
      </c>
    </row>
    <row r="3">
      <c r="A3" s="23" t="s">
        <v>209</v>
      </c>
      <c r="B3" s="35" t="s">
        <v>79</v>
      </c>
      <c r="C3" s="23" t="s">
        <v>202</v>
      </c>
      <c r="D3" s="23" t="s">
        <v>210</v>
      </c>
      <c r="E3" s="23" t="s">
        <v>211</v>
      </c>
      <c r="F3" s="23" t="s">
        <v>212</v>
      </c>
      <c r="G3" s="23" t="s">
        <v>206</v>
      </c>
      <c r="H3" s="39" t="s">
        <v>207</v>
      </c>
      <c r="I3" s="23" t="s">
        <v>213</v>
      </c>
    </row>
    <row r="4">
      <c r="A4" s="21" t="s">
        <v>214</v>
      </c>
      <c r="B4" s="37" t="s">
        <v>87</v>
      </c>
      <c r="C4" s="21" t="s">
        <v>215</v>
      </c>
      <c r="D4" s="21" t="s">
        <v>216</v>
      </c>
      <c r="E4" s="21" t="s">
        <v>217</v>
      </c>
      <c r="F4" s="21" t="s">
        <v>218</v>
      </c>
      <c r="G4" s="21" t="s">
        <v>32</v>
      </c>
      <c r="H4" s="38" t="s">
        <v>207</v>
      </c>
      <c r="I4" s="21" t="s">
        <v>219</v>
      </c>
    </row>
    <row r="5">
      <c r="A5" s="23" t="s">
        <v>220</v>
      </c>
      <c r="B5" s="23" t="s">
        <v>221</v>
      </c>
      <c r="C5" s="23" t="s">
        <v>202</v>
      </c>
      <c r="D5" s="23" t="s">
        <v>222</v>
      </c>
      <c r="E5" s="23" t="s">
        <v>223</v>
      </c>
      <c r="F5" s="23" t="s">
        <v>224</v>
      </c>
      <c r="G5" s="23" t="s">
        <v>225</v>
      </c>
      <c r="H5" s="39" t="s">
        <v>207</v>
      </c>
      <c r="I5" s="23" t="s">
        <v>226</v>
      </c>
    </row>
    <row r="6">
      <c r="A6" s="21" t="s">
        <v>227</v>
      </c>
      <c r="B6" s="21" t="s">
        <v>221</v>
      </c>
      <c r="C6" s="21" t="s">
        <v>202</v>
      </c>
      <c r="D6" s="21" t="s">
        <v>222</v>
      </c>
      <c r="E6" s="21" t="s">
        <v>228</v>
      </c>
      <c r="F6" s="21" t="s">
        <v>229</v>
      </c>
      <c r="G6" s="21" t="s">
        <v>230</v>
      </c>
      <c r="H6" s="38" t="s">
        <v>207</v>
      </c>
      <c r="I6" s="21" t="s">
        <v>231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B728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4.0"/>
    <col customWidth="1" min="3" max="3" width="28.0"/>
    <col customWidth="1" min="4" max="5" width="12.0"/>
    <col customWidth="1" min="6" max="6" width="52.0"/>
    <col customWidth="1" min="7" max="7" width="18.0"/>
    <col customWidth="1" min="8" max="8" width="30.0"/>
    <col customWidth="1" min="9" max="10" width="14.0"/>
    <col customWidth="1" min="11" max="11" width="12.0"/>
    <col customWidth="1" min="12" max="12" width="22.0"/>
    <col customWidth="1" min="13" max="26" width="8.71"/>
  </cols>
  <sheetData>
    <row r="1">
      <c r="A1" s="20" t="s">
        <v>232</v>
      </c>
      <c r="B1" s="20" t="s">
        <v>47</v>
      </c>
      <c r="C1" s="20" t="s">
        <v>48</v>
      </c>
      <c r="D1" s="20" t="s">
        <v>52</v>
      </c>
      <c r="E1" s="20" t="s">
        <v>233</v>
      </c>
      <c r="F1" s="20" t="s">
        <v>234</v>
      </c>
      <c r="G1" s="20" t="s">
        <v>235</v>
      </c>
      <c r="H1" s="20" t="s">
        <v>236</v>
      </c>
      <c r="I1" s="20" t="s">
        <v>65</v>
      </c>
      <c r="J1" s="20" t="s">
        <v>237</v>
      </c>
      <c r="K1" s="20" t="s">
        <v>238</v>
      </c>
      <c r="L1" s="20" t="s">
        <v>239</v>
      </c>
    </row>
    <row r="2">
      <c r="A2" s="42"/>
      <c r="I2" s="43"/>
    </row>
    <row r="3">
      <c r="A3" s="42"/>
      <c r="I3" s="43"/>
    </row>
    <row r="4">
      <c r="A4" s="42"/>
      <c r="I4" s="43"/>
    </row>
    <row r="5">
      <c r="A5" s="42"/>
      <c r="I5" s="43"/>
    </row>
    <row r="6">
      <c r="A6" s="42"/>
      <c r="I6" s="43"/>
    </row>
    <row r="7">
      <c r="A7" s="42"/>
      <c r="I7" s="43"/>
    </row>
    <row r="8">
      <c r="A8" s="42"/>
      <c r="I8" s="43"/>
    </row>
    <row r="9">
      <c r="A9" s="42"/>
      <c r="I9" s="43"/>
    </row>
    <row r="10">
      <c r="A10" s="42"/>
      <c r="I10" s="43"/>
    </row>
    <row r="11">
      <c r="A11" s="42"/>
      <c r="I11" s="43"/>
    </row>
    <row r="12">
      <c r="A12" s="42"/>
      <c r="I12" s="43"/>
    </row>
    <row r="13">
      <c r="A13" s="42"/>
      <c r="I13" s="4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3"/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4151"/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8.0"/>
    <col customWidth="1" min="3" max="3" width="40.0"/>
    <col customWidth="1" min="4" max="4" width="18.0"/>
    <col customWidth="1" min="5" max="26" width="8.71"/>
  </cols>
  <sheetData>
    <row r="1">
      <c r="A1" s="44" t="s">
        <v>240</v>
      </c>
      <c r="B1" s="18"/>
      <c r="C1" s="18"/>
      <c r="D1" s="11"/>
    </row>
    <row r="2">
      <c r="A2" s="45" t="s">
        <v>241</v>
      </c>
      <c r="B2" s="18"/>
      <c r="C2" s="18"/>
      <c r="D2" s="11"/>
    </row>
    <row r="3">
      <c r="A3" s="20" t="s">
        <v>242</v>
      </c>
      <c r="B3" s="20" t="s">
        <v>243</v>
      </c>
      <c r="C3" s="20" t="s">
        <v>28</v>
      </c>
      <c r="D3" s="20" t="s">
        <v>244</v>
      </c>
    </row>
    <row r="4">
      <c r="A4" s="46" t="s">
        <v>245</v>
      </c>
      <c r="B4" s="47">
        <v>1400.0</v>
      </c>
      <c r="C4" s="21" t="s">
        <v>246</v>
      </c>
      <c r="D4" s="21" t="s">
        <v>247</v>
      </c>
    </row>
    <row r="5">
      <c r="A5" s="48" t="s">
        <v>248</v>
      </c>
      <c r="B5" s="47">
        <v>20.0</v>
      </c>
      <c r="C5" s="23" t="s">
        <v>249</v>
      </c>
      <c r="D5" s="23" t="s">
        <v>250</v>
      </c>
    </row>
    <row r="6">
      <c r="A6" s="46" t="s">
        <v>251</v>
      </c>
      <c r="B6" s="47">
        <v>40.0</v>
      </c>
      <c r="C6" s="21" t="s">
        <v>252</v>
      </c>
      <c r="D6" s="21" t="s">
        <v>253</v>
      </c>
    </row>
    <row r="7">
      <c r="A7" s="48" t="s">
        <v>254</v>
      </c>
      <c r="B7" s="47" t="s">
        <v>255</v>
      </c>
      <c r="C7" s="23" t="s">
        <v>256</v>
      </c>
      <c r="D7" s="23" t="s">
        <v>257</v>
      </c>
    </row>
    <row r="8">
      <c r="A8" s="46" t="s">
        <v>258</v>
      </c>
      <c r="B8" s="47" t="s">
        <v>259</v>
      </c>
      <c r="C8" s="21" t="s">
        <v>260</v>
      </c>
      <c r="D8" s="21" t="s">
        <v>257</v>
      </c>
    </row>
    <row r="9">
      <c r="A9" s="48" t="s">
        <v>261</v>
      </c>
      <c r="B9" s="47" t="s">
        <v>255</v>
      </c>
      <c r="C9" s="23" t="s">
        <v>262</v>
      </c>
      <c r="D9" s="23" t="s">
        <v>257</v>
      </c>
    </row>
    <row r="10">
      <c r="A10" s="46" t="s">
        <v>263</v>
      </c>
      <c r="B10" s="47">
        <v>0.15</v>
      </c>
      <c r="C10" s="21" t="s">
        <v>264</v>
      </c>
      <c r="D10" s="21" t="s">
        <v>265</v>
      </c>
    </row>
    <row r="11">
      <c r="A11" s="48" t="s">
        <v>266</v>
      </c>
      <c r="B11" s="47">
        <v>3.0</v>
      </c>
      <c r="C11" s="23" t="s">
        <v>267</v>
      </c>
      <c r="D11" s="23" t="s">
        <v>268</v>
      </c>
    </row>
    <row r="12">
      <c r="A12" s="46" t="s">
        <v>269</v>
      </c>
      <c r="B12" s="47">
        <v>1500.0</v>
      </c>
      <c r="C12" s="21" t="s">
        <v>270</v>
      </c>
      <c r="D12" s="21" t="s">
        <v>271</v>
      </c>
    </row>
    <row r="13">
      <c r="A13" s="48" t="s">
        <v>272</v>
      </c>
      <c r="B13" s="47" t="s">
        <v>273</v>
      </c>
      <c r="C13" s="23" t="s">
        <v>274</v>
      </c>
      <c r="D13" s="23" t="s">
        <v>275</v>
      </c>
    </row>
    <row r="14">
      <c r="A14" s="46" t="s">
        <v>276</v>
      </c>
      <c r="B14" s="47">
        <v>3.0</v>
      </c>
      <c r="C14" s="21" t="s">
        <v>277</v>
      </c>
      <c r="D14" s="21" t="s">
        <v>278</v>
      </c>
    </row>
    <row r="15">
      <c r="A15" s="48" t="s">
        <v>279</v>
      </c>
      <c r="B15" s="47">
        <v>7.0</v>
      </c>
      <c r="C15" s="23" t="s">
        <v>280</v>
      </c>
      <c r="D15" s="23" t="s">
        <v>281</v>
      </c>
    </row>
    <row r="16">
      <c r="A16" s="46" t="s">
        <v>282</v>
      </c>
      <c r="B16" s="47">
        <v>30.0</v>
      </c>
      <c r="C16" s="21" t="s">
        <v>283</v>
      </c>
      <c r="D16" s="21" t="s">
        <v>284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